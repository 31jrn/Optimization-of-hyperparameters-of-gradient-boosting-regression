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Optimization-of-hyperparameters-of-gradient-boosting-regression\"/>
    </mc:Choice>
  </mc:AlternateContent>
  <xr:revisionPtr revIDLastSave="0" documentId="13_ncr:1_{7ED17EF0-75B8-4BBC-87A0-5FD55DC43C69}" xr6:coauthVersionLast="47" xr6:coauthVersionMax="47" xr10:uidLastSave="{00000000-0000-0000-0000-000000000000}"/>
  <bookViews>
    <workbookView xWindow="22932" yWindow="-6096" windowWidth="13176" windowHeight="22536" xr2:uid="{8495D54C-0E64-4661-8F8D-A79A4D81CA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1" i="1" l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<sst xmlns="http://schemas.openxmlformats.org/spreadsheetml/2006/main" count="55" uniqueCount="44">
  <si>
    <t>ув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</si>
  <si>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</si>
  <si>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</si>
  <si>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</si>
  <si>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</si>
  <si>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</si>
  <si>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</si>
  <si>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</si>
  <si>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</si>
  <si>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</si>
  <si>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</si>
  <si>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Обозначение</t>
  </si>
  <si>
    <t>Наименование</t>
  </si>
  <si>
    <t>Допуск</t>
  </si>
  <si>
    <t>импульсный ток катода</t>
  </si>
  <si>
    <t>А</t>
  </si>
  <si>
    <t>напряжение накала</t>
  </si>
  <si>
    <t>В</t>
  </si>
  <si>
    <t>ток накала</t>
  </si>
  <si>
    <t>токопрохождение в статике</t>
  </si>
  <si>
    <t>%</t>
  </si>
  <si>
    <t>-</t>
  </si>
  <si>
    <t xml:space="preserve">ток управляющего электрода </t>
  </si>
  <si>
    <t>мА</t>
  </si>
  <si>
    <t>не более 30</t>
  </si>
  <si>
    <t>потребляемая мощность</t>
  </si>
  <si>
    <t>кВт</t>
  </si>
  <si>
    <t>до 12</t>
  </si>
  <si>
    <t>мощность входная</t>
  </si>
  <si>
    <t>мВт</t>
  </si>
  <si>
    <t>120–750</t>
  </si>
  <si>
    <t>x8</t>
  </si>
  <si>
    <t>выходная мощность клистрона</t>
  </si>
  <si>
    <t>18 - 40</t>
  </si>
  <si>
    <t>x9</t>
  </si>
  <si>
    <t>импульсный ток резонаторного блока</t>
  </si>
  <si>
    <t>до 2</t>
  </si>
  <si>
    <t>x10</t>
  </si>
  <si>
    <t>коэффициент усиления</t>
  </si>
  <si>
    <r>
      <t>8,5</t>
    </r>
    <r>
      <rPr>
        <sz val="10"/>
        <color theme="1"/>
        <rFont val="Times New Roman"/>
        <family val="1"/>
        <charset val="204"/>
      </rPr>
      <t>–</t>
    </r>
    <r>
      <rPr>
        <sz val="10"/>
        <color rgb="FF000000"/>
        <rFont val="Times New Roman"/>
        <family val="1"/>
        <charset val="204"/>
      </rPr>
      <t>10,5</t>
    </r>
  </si>
  <si>
    <r>
      <t>10</t>
    </r>
    <r>
      <rPr>
        <sz val="10"/>
        <color theme="1"/>
        <rFont val="Times New Roman"/>
        <family val="1"/>
        <charset val="204"/>
      </rPr>
      <t>–</t>
    </r>
    <r>
      <rPr>
        <sz val="10"/>
        <color rgb="FF000000"/>
        <rFont val="Times New Roman"/>
        <family val="1"/>
        <charset val="204"/>
      </rPr>
      <t>12,6</t>
    </r>
  </si>
  <si>
    <r>
      <t xml:space="preserve"> 3</t>
    </r>
    <r>
      <rPr>
        <sz val="10"/>
        <color theme="1"/>
        <rFont val="Times New Roman"/>
        <family val="1"/>
        <charset val="204"/>
      </rPr>
      <t>–</t>
    </r>
    <r>
      <rPr>
        <sz val="10"/>
        <color rgb="FF000000"/>
        <rFont val="Times New Roman"/>
        <family val="1"/>
        <charset val="204"/>
      </rPr>
      <t>5,5</t>
    </r>
  </si>
  <si>
    <t xml:space="preserve">Единицы </t>
  </si>
  <si>
    <r>
      <t xml:space="preserve">Ув - </t>
    </r>
    <r>
      <rPr>
        <sz val="10"/>
        <color rgb="FF000000"/>
        <rFont val="Times New Roman"/>
        <family val="1"/>
        <charset val="204"/>
      </rPr>
      <t>выходная мощность блока</t>
    </r>
    <r>
      <rPr>
        <i/>
        <sz val="10"/>
        <color theme="1"/>
        <rFont val="Times New Roman"/>
        <family val="1"/>
        <charset val="204"/>
      </rPr>
      <t xml:space="preserve"> в верхней точке частотного диапазона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</si>
</sst>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EAB7-E4E4-4EA6-BE26-83F0DFEDB758}">
  <dimension ref="A1:P91"/>
  <sheetViews>
    <sheetView tabSelected="1" zoomScale="145" zoomScaleNormal="145" workbookViewId="0">
      <selection activeCell="M8" sqref="M8"/>
    </sheetView>
  </sheetViews>
  <sheetFormatPr defaultRowHeight="15" x14ac:dyDescent="0.25"/>
  <cols>
    <col min="1" max="1" width="2.85546875" bestFit="1" customWidth="1"/>
    <col min="2" max="2" width="4.85546875" bestFit="1" customWidth="1"/>
    <col min="3" max="3" width="5.85546875" bestFit="1" customWidth="1"/>
    <col min="4" max="4" width="4.85546875" bestFit="1" customWidth="1"/>
    <col min="5" max="5" width="4.28515625" bestFit="1" customWidth="1"/>
    <col min="6" max="6" width="4.85546875" bestFit="1" customWidth="1"/>
    <col min="7" max="7" width="5.85546875" bestFit="1" customWidth="1"/>
    <col min="8" max="8" width="3.85546875" bestFit="1" customWidth="1"/>
    <col min="9" max="9" width="5.85546875" bestFit="1" customWidth="1"/>
    <col min="10" max="10" width="4.85546875" bestFit="1" customWidth="1"/>
    <col min="11" max="11" width="4.28515625" bestFit="1" customWidth="1"/>
    <col min="12" max="12" width="1.85546875" customWidth="1"/>
    <col min="13" max="13" width="12.85546875" customWidth="1"/>
    <col min="14" max="14" width="33.42578125" customWidth="1"/>
    <col min="16" max="16" width="13.140625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6" t="s">
        <v>11</v>
      </c>
      <c r="N1" s="7" t="s">
        <v>12</v>
      </c>
      <c r="O1" s="7" t="s">
        <v>42</v>
      </c>
      <c r="P1" s="7" t="s">
        <v>13</v>
      </c>
    </row>
    <row r="2" spans="1:16" ht="17.45" customHeight="1" thickBot="1" x14ac:dyDescent="0.3">
      <c r="A2" s="2">
        <v>26</v>
      </c>
      <c r="B2" s="2">
        <v>9.1999999999999993</v>
      </c>
      <c r="C2" s="2">
        <v>11.1</v>
      </c>
      <c r="D2" s="2">
        <v>4.3</v>
      </c>
      <c r="E2" s="3">
        <v>91.63120567375887</v>
      </c>
      <c r="F2" s="2">
        <v>2</v>
      </c>
      <c r="G2" s="2">
        <v>9.6999999999999993</v>
      </c>
      <c r="H2" s="2">
        <v>531</v>
      </c>
      <c r="I2" s="2">
        <v>33</v>
      </c>
      <c r="J2" s="2">
        <v>1.04</v>
      </c>
      <c r="K2" s="4">
        <f t="shared" ref="K2:K65" si="0">10*LOG((I2*1000)/(H2/1000))</f>
        <v>47.934194187964181</v>
      </c>
      <c r="M2" s="8" t="s">
        <v>1</v>
      </c>
      <c r="N2" s="9" t="s">
        <v>14</v>
      </c>
      <c r="O2" s="9" t="s">
        <v>15</v>
      </c>
      <c r="P2" s="9" t="s">
        <v>39</v>
      </c>
    </row>
    <row r="3" spans="1:16" ht="15.75" thickBot="1" x14ac:dyDescent="0.3">
      <c r="A3" s="2">
        <v>28</v>
      </c>
      <c r="B3" s="2">
        <v>9.4</v>
      </c>
      <c r="C3" s="2">
        <v>10.5</v>
      </c>
      <c r="D3" s="2">
        <v>4.1500000000000004</v>
      </c>
      <c r="E3" s="3">
        <v>88.652482269503551</v>
      </c>
      <c r="F3" s="2">
        <v>8</v>
      </c>
      <c r="G3" s="2">
        <v>9.9</v>
      </c>
      <c r="H3" s="2">
        <v>228</v>
      </c>
      <c r="I3" s="2">
        <v>31</v>
      </c>
      <c r="J3" s="2">
        <v>0.8</v>
      </c>
      <c r="K3" s="4">
        <f t="shared" si="0"/>
        <v>51.334268468338195</v>
      </c>
      <c r="M3" s="10" t="s">
        <v>2</v>
      </c>
      <c r="N3" s="9" t="s">
        <v>16</v>
      </c>
      <c r="O3" s="9" t="s">
        <v>17</v>
      </c>
      <c r="P3" s="9" t="s">
        <v>40</v>
      </c>
    </row>
    <row r="4" spans="1:16" ht="15.75" thickBot="1" x14ac:dyDescent="0.3">
      <c r="A4" s="2">
        <v>25</v>
      </c>
      <c r="B4" s="2">
        <v>9.1</v>
      </c>
      <c r="C4" s="2">
        <v>10.9</v>
      </c>
      <c r="D4" s="2">
        <v>4.0999999999999996</v>
      </c>
      <c r="E4" s="3">
        <v>91.835205992509358</v>
      </c>
      <c r="F4" s="2">
        <v>2</v>
      </c>
      <c r="G4" s="2">
        <v>9.6</v>
      </c>
      <c r="H4" s="2">
        <v>544</v>
      </c>
      <c r="I4" s="2">
        <v>26</v>
      </c>
      <c r="J4" s="2">
        <v>0.83</v>
      </c>
      <c r="K4" s="4">
        <f t="shared" si="0"/>
        <v>46.793744482726382</v>
      </c>
      <c r="M4" s="10" t="s">
        <v>3</v>
      </c>
      <c r="N4" s="9" t="s">
        <v>18</v>
      </c>
      <c r="O4" s="9" t="s">
        <v>15</v>
      </c>
      <c r="P4" s="9" t="s">
        <v>41</v>
      </c>
    </row>
    <row r="5" spans="1:16" ht="15.95" customHeight="1" thickBot="1" x14ac:dyDescent="0.3">
      <c r="A5" s="2">
        <v>26</v>
      </c>
      <c r="B5" s="2">
        <v>9.5</v>
      </c>
      <c r="C5" s="2">
        <v>11.2</v>
      </c>
      <c r="D5" s="2">
        <v>4.25</v>
      </c>
      <c r="E5" s="3">
        <v>90.229885057471265</v>
      </c>
      <c r="F5" s="2">
        <v>2</v>
      </c>
      <c r="G5" s="2">
        <v>10</v>
      </c>
      <c r="H5" s="2">
        <v>380</v>
      </c>
      <c r="I5" s="2">
        <v>31</v>
      </c>
      <c r="J5" s="2">
        <v>1</v>
      </c>
      <c r="K5" s="4">
        <f t="shared" si="0"/>
        <v>49.115780972174633</v>
      </c>
      <c r="M5" s="10" t="s">
        <v>4</v>
      </c>
      <c r="N5" s="11" t="s">
        <v>19</v>
      </c>
      <c r="O5" s="11" t="s">
        <v>20</v>
      </c>
      <c r="P5" s="12" t="s">
        <v>21</v>
      </c>
    </row>
    <row r="6" spans="1:16" ht="12.95" customHeight="1" thickBot="1" x14ac:dyDescent="0.3">
      <c r="A6" s="2">
        <v>28</v>
      </c>
      <c r="B6" s="2">
        <v>9</v>
      </c>
      <c r="C6" s="2">
        <v>10.8</v>
      </c>
      <c r="D6" s="2">
        <v>4.4000000000000004</v>
      </c>
      <c r="E6" s="3">
        <v>92.307692307692307</v>
      </c>
      <c r="F6" s="2">
        <v>2</v>
      </c>
      <c r="G6" s="2">
        <v>9.5</v>
      </c>
      <c r="H6" s="2">
        <v>455</v>
      </c>
      <c r="I6" s="2">
        <v>28</v>
      </c>
      <c r="J6" s="2">
        <v>0.98</v>
      </c>
      <c r="K6" s="4">
        <f t="shared" si="0"/>
        <v>47.891466346851068</v>
      </c>
      <c r="M6" s="10" t="s">
        <v>5</v>
      </c>
      <c r="N6" s="11" t="s">
        <v>22</v>
      </c>
      <c r="O6" s="9" t="s">
        <v>23</v>
      </c>
      <c r="P6" s="11" t="s">
        <v>24</v>
      </c>
    </row>
    <row r="7" spans="1:16" ht="14.1" customHeight="1" thickBot="1" x14ac:dyDescent="0.3">
      <c r="A7" s="2">
        <v>25</v>
      </c>
      <c r="B7" s="2">
        <v>9.65</v>
      </c>
      <c r="C7" s="2">
        <v>10.3</v>
      </c>
      <c r="D7" s="2">
        <v>4</v>
      </c>
      <c r="E7" s="3">
        <v>88.81481481481481</v>
      </c>
      <c r="F7" s="2">
        <v>1</v>
      </c>
      <c r="G7" s="2">
        <v>10.1</v>
      </c>
      <c r="H7" s="2">
        <v>521</v>
      </c>
      <c r="I7" s="2">
        <v>30</v>
      </c>
      <c r="J7" s="2">
        <v>0.9</v>
      </c>
      <c r="K7" s="4">
        <f t="shared" si="0"/>
        <v>47.602835314201371</v>
      </c>
      <c r="M7" s="10" t="s">
        <v>6</v>
      </c>
      <c r="N7" s="9" t="s">
        <v>25</v>
      </c>
      <c r="O7" s="9" t="s">
        <v>26</v>
      </c>
      <c r="P7" s="11" t="s">
        <v>27</v>
      </c>
    </row>
    <row r="8" spans="1:16" ht="15.75" thickBot="1" x14ac:dyDescent="0.3">
      <c r="A8" s="2">
        <v>23</v>
      </c>
      <c r="B8" s="2">
        <v>9.6999999999999993</v>
      </c>
      <c r="C8" s="2">
        <v>11.5</v>
      </c>
      <c r="D8" s="2">
        <v>4.4000000000000004</v>
      </c>
      <c r="E8" s="3">
        <v>90.579710144927532</v>
      </c>
      <c r="F8" s="2">
        <v>2</v>
      </c>
      <c r="G8" s="2">
        <v>10.1</v>
      </c>
      <c r="H8" s="2">
        <v>651</v>
      </c>
      <c r="I8" s="2">
        <v>27</v>
      </c>
      <c r="J8" s="2">
        <v>0.98</v>
      </c>
      <c r="K8" s="4">
        <f t="shared" si="0"/>
        <v>46.177827755907956</v>
      </c>
      <c r="M8" s="10" t="s">
        <v>7</v>
      </c>
      <c r="N8" s="9" t="s">
        <v>28</v>
      </c>
      <c r="O8" s="9" t="s">
        <v>29</v>
      </c>
      <c r="P8" s="11" t="s">
        <v>30</v>
      </c>
    </row>
    <row r="9" spans="1:16" ht="11.45" customHeight="1" thickBot="1" x14ac:dyDescent="0.3">
      <c r="A9" s="2">
        <v>25</v>
      </c>
      <c r="B9" s="2">
        <v>9.1999999999999993</v>
      </c>
      <c r="C9" s="2">
        <v>11.8</v>
      </c>
      <c r="D9" s="2">
        <v>4.5999999999999996</v>
      </c>
      <c r="E9" s="3">
        <v>92.673992673992672</v>
      </c>
      <c r="F9" s="2">
        <v>2</v>
      </c>
      <c r="G9" s="2">
        <v>9.7100000000000009</v>
      </c>
      <c r="H9" s="2">
        <v>594</v>
      </c>
      <c r="I9" s="2">
        <v>29</v>
      </c>
      <c r="J9" s="2">
        <v>1.18</v>
      </c>
      <c r="K9" s="4">
        <f t="shared" si="0"/>
        <v>46.886115529177623</v>
      </c>
      <c r="M9" s="10" t="s">
        <v>31</v>
      </c>
      <c r="N9" s="9" t="s">
        <v>32</v>
      </c>
      <c r="O9" s="9" t="s">
        <v>26</v>
      </c>
      <c r="P9" s="11" t="s">
        <v>33</v>
      </c>
    </row>
    <row r="10" spans="1:16" ht="15" customHeight="1" thickBot="1" x14ac:dyDescent="0.3">
      <c r="A10" s="2">
        <v>18</v>
      </c>
      <c r="B10" s="2">
        <v>8.9</v>
      </c>
      <c r="C10" s="2">
        <v>11</v>
      </c>
      <c r="D10" s="2">
        <v>4.0999999999999996</v>
      </c>
      <c r="E10" s="3">
        <v>91.228070175438589</v>
      </c>
      <c r="F10" s="2">
        <v>2</v>
      </c>
      <c r="G10" s="2">
        <v>9.4</v>
      </c>
      <c r="H10" s="2">
        <v>575</v>
      </c>
      <c r="I10" s="2">
        <v>26</v>
      </c>
      <c r="J10" s="2">
        <v>1</v>
      </c>
      <c r="K10" s="4">
        <f t="shared" si="0"/>
        <v>46.553055032811876</v>
      </c>
      <c r="M10" s="10" t="s">
        <v>34</v>
      </c>
      <c r="N10" s="9" t="s">
        <v>35</v>
      </c>
      <c r="O10" s="9" t="s">
        <v>15</v>
      </c>
      <c r="P10" s="11" t="s">
        <v>36</v>
      </c>
    </row>
    <row r="11" spans="1:16" ht="15.75" thickBot="1" x14ac:dyDescent="0.3">
      <c r="A11" s="2">
        <v>23</v>
      </c>
      <c r="B11" s="2">
        <v>9</v>
      </c>
      <c r="C11" s="2">
        <v>12.6</v>
      </c>
      <c r="D11" s="2">
        <v>4.53</v>
      </c>
      <c r="E11" s="3">
        <v>90.148148148148138</v>
      </c>
      <c r="F11" s="2">
        <v>0.3</v>
      </c>
      <c r="G11" s="2">
        <v>8.3000000000000007</v>
      </c>
      <c r="H11" s="2">
        <v>351</v>
      </c>
      <c r="I11" s="2">
        <v>25.7</v>
      </c>
      <c r="J11" s="2">
        <v>1.1200000000000001</v>
      </c>
      <c r="K11" s="4">
        <f t="shared" si="0"/>
        <v>48.646260068654705</v>
      </c>
      <c r="M11" s="10" t="s">
        <v>37</v>
      </c>
      <c r="N11" s="9" t="s">
        <v>38</v>
      </c>
      <c r="O11" s="9"/>
      <c r="P11" s="12" t="s">
        <v>21</v>
      </c>
    </row>
    <row r="12" spans="1:16" ht="25.5" x14ac:dyDescent="0.25">
      <c r="A12" s="2">
        <v>25</v>
      </c>
      <c r="B12" s="2">
        <v>9.1</v>
      </c>
      <c r="C12" s="2">
        <v>10.1</v>
      </c>
      <c r="D12" s="2">
        <v>4.0999999999999996</v>
      </c>
      <c r="E12" s="3">
        <v>90.915371329879108</v>
      </c>
      <c r="F12" s="2">
        <v>2</v>
      </c>
      <c r="G12" s="2">
        <v>9.6</v>
      </c>
      <c r="H12" s="2">
        <v>369</v>
      </c>
      <c r="I12" s="2">
        <v>29</v>
      </c>
      <c r="J12" s="2">
        <v>0.92</v>
      </c>
      <c r="K12" s="4">
        <f t="shared" si="0"/>
        <v>48.953716317398957</v>
      </c>
      <c r="N12" s="13" t="s">
        <v>43</v>
      </c>
    </row>
    <row r="13" spans="1:16" x14ac:dyDescent="0.25">
      <c r="A13" s="2">
        <v>24</v>
      </c>
      <c r="B13" s="2">
        <v>9.4</v>
      </c>
      <c r="C13" s="2">
        <v>10.050000000000001</v>
      </c>
      <c r="D13" s="2">
        <v>4.05</v>
      </c>
      <c r="E13" s="3">
        <v>89.828178694158083</v>
      </c>
      <c r="F13" s="2">
        <v>8.5</v>
      </c>
      <c r="G13" s="2">
        <v>9.9</v>
      </c>
      <c r="H13" s="2">
        <v>434</v>
      </c>
      <c r="I13" s="2">
        <v>26</v>
      </c>
      <c r="J13" s="2">
        <v>1.29</v>
      </c>
      <c r="K13" s="4">
        <f t="shared" si="0"/>
        <v>47.774836184583066</v>
      </c>
    </row>
    <row r="14" spans="1:16" x14ac:dyDescent="0.25">
      <c r="A14" s="2">
        <v>28</v>
      </c>
      <c r="B14" s="2">
        <v>9.4</v>
      </c>
      <c r="C14" s="2">
        <v>10.5</v>
      </c>
      <c r="D14" s="2">
        <v>4</v>
      </c>
      <c r="E14" s="3">
        <v>87.826086956521749</v>
      </c>
      <c r="F14" s="2">
        <v>0.1</v>
      </c>
      <c r="G14" s="4">
        <v>9.9120000000000008</v>
      </c>
      <c r="H14" s="2">
        <v>370</v>
      </c>
      <c r="I14" s="2">
        <v>24.4</v>
      </c>
      <c r="J14" s="5">
        <v>0.56000000000000005</v>
      </c>
      <c r="K14" s="4">
        <f t="shared" si="0"/>
        <v>48.191881022717347</v>
      </c>
    </row>
    <row r="15" spans="1:16" x14ac:dyDescent="0.25">
      <c r="A15" s="2">
        <v>27</v>
      </c>
      <c r="B15" s="2">
        <v>9.9</v>
      </c>
      <c r="C15" s="2">
        <v>10.5</v>
      </c>
      <c r="D15" s="2">
        <v>4.2</v>
      </c>
      <c r="E15" s="3">
        <v>90.636704119850179</v>
      </c>
      <c r="F15" s="2">
        <v>0.1</v>
      </c>
      <c r="G15" s="4">
        <v>10.4391</v>
      </c>
      <c r="H15" s="2">
        <v>240</v>
      </c>
      <c r="I15" s="2">
        <v>31.2</v>
      </c>
      <c r="J15" s="5">
        <v>1.18</v>
      </c>
      <c r="K15" s="4">
        <f t="shared" si="0"/>
        <v>51.139433523068369</v>
      </c>
    </row>
    <row r="16" spans="1:16" x14ac:dyDescent="0.25">
      <c r="A16" s="2">
        <v>26</v>
      </c>
      <c r="B16" s="2">
        <v>10.1</v>
      </c>
      <c r="C16" s="2">
        <v>10.5</v>
      </c>
      <c r="D16" s="2">
        <v>4</v>
      </c>
      <c r="E16" s="3">
        <v>88.074074074074076</v>
      </c>
      <c r="F16" s="2">
        <v>0.1</v>
      </c>
      <c r="G16" s="4">
        <v>10.647</v>
      </c>
      <c r="H16" s="2">
        <v>230</v>
      </c>
      <c r="I16" s="2">
        <v>34</v>
      </c>
      <c r="J16" s="5">
        <v>1.1100000000000001</v>
      </c>
      <c r="K16" s="4">
        <f t="shared" si="0"/>
        <v>51.697510810246627</v>
      </c>
    </row>
    <row r="17" spans="1:11" x14ac:dyDescent="0.25">
      <c r="A17" s="2">
        <v>25</v>
      </c>
      <c r="B17" s="2">
        <v>10.1</v>
      </c>
      <c r="C17" s="2">
        <v>11</v>
      </c>
      <c r="D17" s="2">
        <v>4</v>
      </c>
      <c r="E17" s="3">
        <v>88.586956521739125</v>
      </c>
      <c r="F17" s="2">
        <v>0.1</v>
      </c>
      <c r="G17" s="4">
        <v>10.648999999999999</v>
      </c>
      <c r="H17" s="2">
        <v>130</v>
      </c>
      <c r="I17" s="2">
        <v>27.2</v>
      </c>
      <c r="J17" s="5">
        <v>0.85</v>
      </c>
      <c r="K17" s="4">
        <f t="shared" si="0"/>
        <v>53.206255517273618</v>
      </c>
    </row>
    <row r="18" spans="1:11" x14ac:dyDescent="0.25">
      <c r="A18" s="2">
        <v>19</v>
      </c>
      <c r="B18" s="2">
        <v>9.6999999999999993</v>
      </c>
      <c r="C18" s="2">
        <v>11</v>
      </c>
      <c r="D18" s="2">
        <v>4.2</v>
      </c>
      <c r="E18" s="3">
        <v>90.567375886524829</v>
      </c>
      <c r="F18" s="2">
        <v>0.1</v>
      </c>
      <c r="G18" s="4">
        <v>10.231200000000001</v>
      </c>
      <c r="H18" s="2">
        <v>350</v>
      </c>
      <c r="I18" s="2">
        <v>30</v>
      </c>
      <c r="J18" s="5">
        <v>0.89</v>
      </c>
      <c r="K18" s="4">
        <f t="shared" si="0"/>
        <v>49.330532103693869</v>
      </c>
    </row>
    <row r="19" spans="1:11" x14ac:dyDescent="0.25">
      <c r="A19" s="2">
        <v>23</v>
      </c>
      <c r="B19" s="2">
        <v>9.1999999999999993</v>
      </c>
      <c r="C19" s="2">
        <v>10.6</v>
      </c>
      <c r="D19" s="2">
        <v>4.25</v>
      </c>
      <c r="E19" s="3">
        <v>93.188405797101453</v>
      </c>
      <c r="F19" s="2">
        <v>2.5</v>
      </c>
      <c r="G19" s="2">
        <v>9.7100000000000009</v>
      </c>
      <c r="H19" s="2">
        <v>689</v>
      </c>
      <c r="I19" s="2">
        <v>31</v>
      </c>
      <c r="J19" s="2">
        <v>1.1000000000000001</v>
      </c>
      <c r="K19" s="4">
        <f t="shared" si="0"/>
        <v>46.531424719266468</v>
      </c>
    </row>
    <row r="20" spans="1:11" x14ac:dyDescent="0.25">
      <c r="A20" s="2">
        <v>27</v>
      </c>
      <c r="B20" s="2">
        <v>9.4</v>
      </c>
      <c r="C20" s="2">
        <v>12.6</v>
      </c>
      <c r="D20" s="2">
        <v>4.5999999999999996</v>
      </c>
      <c r="E20" s="3">
        <v>91.847826086956516</v>
      </c>
      <c r="F20" s="2">
        <v>2</v>
      </c>
      <c r="G20" s="2">
        <v>9.9</v>
      </c>
      <c r="H20" s="2">
        <v>434</v>
      </c>
      <c r="I20" s="2">
        <v>27</v>
      </c>
      <c r="J20" s="2">
        <v>0.9</v>
      </c>
      <c r="K20" s="4">
        <f t="shared" si="0"/>
        <v>47.938740346464769</v>
      </c>
    </row>
    <row r="21" spans="1:11" x14ac:dyDescent="0.25">
      <c r="A21" s="2">
        <v>28</v>
      </c>
      <c r="B21" s="2">
        <v>9.1999999999999993</v>
      </c>
      <c r="C21" s="2">
        <v>10.8</v>
      </c>
      <c r="D21" s="2">
        <v>4</v>
      </c>
      <c r="E21" s="3">
        <v>86.8888888888889</v>
      </c>
      <c r="F21" s="2">
        <v>2</v>
      </c>
      <c r="G21" s="2">
        <v>9.6999999999999993</v>
      </c>
      <c r="H21" s="2">
        <v>521</v>
      </c>
      <c r="I21" s="2">
        <v>31</v>
      </c>
      <c r="J21" s="2">
        <v>0.8</v>
      </c>
      <c r="K21" s="4">
        <f t="shared" si="0"/>
        <v>47.74523970534748</v>
      </c>
    </row>
    <row r="22" spans="1:11" x14ac:dyDescent="0.25">
      <c r="A22" s="2">
        <v>21</v>
      </c>
      <c r="B22" s="2">
        <v>9.1999999999999993</v>
      </c>
      <c r="C22" s="2">
        <v>10.199999999999999</v>
      </c>
      <c r="D22" s="2">
        <v>4.0999999999999996</v>
      </c>
      <c r="E22" s="3">
        <v>92.561403508771917</v>
      </c>
      <c r="F22" s="2">
        <v>2</v>
      </c>
      <c r="G22" s="2">
        <v>9.6999999999999993</v>
      </c>
      <c r="H22" s="2">
        <v>477</v>
      </c>
      <c r="I22" s="2">
        <v>28</v>
      </c>
      <c r="J22" s="2">
        <v>0.83</v>
      </c>
      <c r="K22" s="4">
        <f t="shared" si="0"/>
        <v>47.686396523021052</v>
      </c>
    </row>
    <row r="23" spans="1:11" x14ac:dyDescent="0.25">
      <c r="A23" s="2">
        <v>23</v>
      </c>
      <c r="B23" s="2">
        <v>9</v>
      </c>
      <c r="C23" s="2">
        <v>12.5</v>
      </c>
      <c r="D23" s="2">
        <v>4.4000000000000004</v>
      </c>
      <c r="E23" s="3">
        <v>87.205387205387197</v>
      </c>
      <c r="F23" s="2">
        <v>0.3</v>
      </c>
      <c r="G23" s="2">
        <v>8.3000000000000007</v>
      </c>
      <c r="H23" s="2">
        <v>296</v>
      </c>
      <c r="I23" s="2">
        <v>29</v>
      </c>
      <c r="J23" s="2">
        <v>1</v>
      </c>
      <c r="K23" s="4">
        <f t="shared" si="0"/>
        <v>49.91106286840018</v>
      </c>
    </row>
    <row r="24" spans="1:11" x14ac:dyDescent="0.25">
      <c r="A24" s="2">
        <v>29</v>
      </c>
      <c r="B24" s="2">
        <v>9.6</v>
      </c>
      <c r="C24" s="2">
        <v>11</v>
      </c>
      <c r="D24" s="2">
        <v>4.0999999999999996</v>
      </c>
      <c r="E24" s="3">
        <v>87.868217054263567</v>
      </c>
      <c r="F24" s="2">
        <v>0.1</v>
      </c>
      <c r="G24" s="4">
        <v>10.1251</v>
      </c>
      <c r="H24" s="2">
        <v>400</v>
      </c>
      <c r="I24" s="2">
        <v>23.2</v>
      </c>
      <c r="J24" s="5">
        <v>0.52</v>
      </c>
      <c r="K24" s="4">
        <f t="shared" si="0"/>
        <v>47.634279935629365</v>
      </c>
    </row>
    <row r="25" spans="1:11" x14ac:dyDescent="0.25">
      <c r="A25" s="2">
        <v>23</v>
      </c>
      <c r="B25" s="2">
        <v>9.5</v>
      </c>
      <c r="C25" s="2">
        <v>10</v>
      </c>
      <c r="D25" s="2">
        <v>4</v>
      </c>
      <c r="E25" s="3">
        <v>87.903780068728523</v>
      </c>
      <c r="F25" s="2">
        <v>0.1</v>
      </c>
      <c r="G25" s="4">
        <v>10.015000000000001</v>
      </c>
      <c r="H25" s="2">
        <v>280</v>
      </c>
      <c r="I25" s="2">
        <v>32</v>
      </c>
      <c r="J25" s="5">
        <v>0.83</v>
      </c>
      <c r="K25" s="4">
        <f t="shared" si="0"/>
        <v>50.579919469776868</v>
      </c>
    </row>
    <row r="26" spans="1:11" x14ac:dyDescent="0.25">
      <c r="A26" s="2">
        <v>23</v>
      </c>
      <c r="B26" s="2">
        <v>9.6</v>
      </c>
      <c r="C26" s="2">
        <v>11</v>
      </c>
      <c r="D26" s="2">
        <v>4.0999999999999996</v>
      </c>
      <c r="E26" s="3">
        <v>90.636704119850179</v>
      </c>
      <c r="F26" s="2">
        <v>0.1</v>
      </c>
      <c r="G26" s="4">
        <v>10.1251</v>
      </c>
      <c r="H26" s="2">
        <v>130</v>
      </c>
      <c r="I26" s="2">
        <v>24.8</v>
      </c>
      <c r="J26" s="5">
        <v>0.82</v>
      </c>
      <c r="K26" s="4">
        <f t="shared" si="0"/>
        <v>52.805083285193788</v>
      </c>
    </row>
    <row r="27" spans="1:11" x14ac:dyDescent="0.25">
      <c r="A27" s="2">
        <v>19</v>
      </c>
      <c r="B27" s="2">
        <v>9.6999999999999993</v>
      </c>
      <c r="C27" s="2">
        <v>11</v>
      </c>
      <c r="D27" s="2">
        <v>4.0999999999999996</v>
      </c>
      <c r="E27" s="3">
        <v>85.815602836879421</v>
      </c>
      <c r="F27" s="2">
        <v>0.1</v>
      </c>
      <c r="G27" s="4">
        <v>10.2301</v>
      </c>
      <c r="H27" s="2">
        <v>220</v>
      </c>
      <c r="I27" s="2">
        <v>28</v>
      </c>
      <c r="J27" s="5">
        <v>0.56999999999999995</v>
      </c>
      <c r="K27" s="4">
        <f t="shared" si="0"/>
        <v>51.047353505200128</v>
      </c>
    </row>
    <row r="28" spans="1:11" x14ac:dyDescent="0.25">
      <c r="A28" s="2">
        <v>29</v>
      </c>
      <c r="B28" s="2">
        <v>9.1999999999999993</v>
      </c>
      <c r="C28" s="2">
        <v>11.5</v>
      </c>
      <c r="D28" s="2">
        <v>4.3</v>
      </c>
      <c r="E28" s="3">
        <v>92.941176470588232</v>
      </c>
      <c r="F28" s="2">
        <v>0.1</v>
      </c>
      <c r="G28" s="4">
        <v>9.7094499999999986</v>
      </c>
      <c r="H28" s="2">
        <v>410</v>
      </c>
      <c r="I28" s="2">
        <v>26</v>
      </c>
      <c r="J28" s="2">
        <v>1.1100000000000001</v>
      </c>
      <c r="K28" s="4">
        <f t="shared" si="0"/>
        <v>48.021894912510831</v>
      </c>
    </row>
    <row r="29" spans="1:11" x14ac:dyDescent="0.25">
      <c r="A29" s="2">
        <v>22</v>
      </c>
      <c r="B29" s="2">
        <v>9.8000000000000007</v>
      </c>
      <c r="C29" s="2">
        <v>10.5</v>
      </c>
      <c r="D29" s="2">
        <v>4</v>
      </c>
      <c r="E29" s="3">
        <v>92.350877192982466</v>
      </c>
      <c r="F29" s="2">
        <v>0.1</v>
      </c>
      <c r="G29" s="4">
        <v>10.332000000000003</v>
      </c>
      <c r="H29" s="2">
        <v>220</v>
      </c>
      <c r="I29" s="2">
        <v>31.2</v>
      </c>
      <c r="J29" s="2">
        <v>1.2</v>
      </c>
      <c r="K29" s="4">
        <f t="shared" si="0"/>
        <v>51.517319131962367</v>
      </c>
    </row>
    <row r="30" spans="1:11" x14ac:dyDescent="0.25">
      <c r="A30" s="2">
        <v>23</v>
      </c>
      <c r="B30" s="2">
        <v>9.6999999999999993</v>
      </c>
      <c r="C30" s="2">
        <v>10.5</v>
      </c>
      <c r="D30" s="2">
        <v>4.2</v>
      </c>
      <c r="E30" s="3">
        <v>92.903225806451616</v>
      </c>
      <c r="F30" s="2">
        <v>0.1</v>
      </c>
      <c r="G30" s="4">
        <v>10.229100000000001</v>
      </c>
      <c r="H30" s="2">
        <v>170</v>
      </c>
      <c r="I30" s="2">
        <v>26.8</v>
      </c>
      <c r="J30" s="2">
        <v>0.62</v>
      </c>
      <c r="K30" s="4">
        <f t="shared" si="0"/>
        <v>51.976858726505156</v>
      </c>
    </row>
    <row r="31" spans="1:11" x14ac:dyDescent="0.25">
      <c r="A31" s="2">
        <v>27</v>
      </c>
      <c r="B31" s="2">
        <v>8.6999999999999993</v>
      </c>
      <c r="C31" s="2">
        <v>12</v>
      </c>
      <c r="D31" s="2">
        <v>4.4000000000000004</v>
      </c>
      <c r="E31" s="3">
        <v>90.370370370370367</v>
      </c>
      <c r="F31" s="2">
        <v>0.3</v>
      </c>
      <c r="G31" s="2">
        <v>9.1999999999999993</v>
      </c>
      <c r="H31" s="2">
        <v>300</v>
      </c>
      <c r="I31" s="2">
        <v>28</v>
      </c>
      <c r="J31" s="2">
        <v>0.85</v>
      </c>
      <c r="K31" s="4">
        <f t="shared" si="0"/>
        <v>49.700367766225568</v>
      </c>
    </row>
    <row r="32" spans="1:11" x14ac:dyDescent="0.25">
      <c r="A32" s="2">
        <v>22</v>
      </c>
      <c r="B32" s="2">
        <v>9.1</v>
      </c>
      <c r="C32" s="2">
        <v>10.7</v>
      </c>
      <c r="D32" s="2">
        <v>4</v>
      </c>
      <c r="E32" s="3">
        <v>87.246376811594189</v>
      </c>
      <c r="F32" s="2">
        <v>2</v>
      </c>
      <c r="G32" s="2">
        <v>9.6</v>
      </c>
      <c r="H32" s="2">
        <v>293</v>
      </c>
      <c r="I32" s="2">
        <v>27</v>
      </c>
      <c r="J32" s="2">
        <v>0.82</v>
      </c>
      <c r="K32" s="4">
        <f t="shared" si="0"/>
        <v>49.644961438048782</v>
      </c>
    </row>
    <row r="33" spans="1:11" x14ac:dyDescent="0.25">
      <c r="A33" s="2">
        <v>23</v>
      </c>
      <c r="B33" s="2">
        <v>9</v>
      </c>
      <c r="C33" s="2">
        <v>11.5</v>
      </c>
      <c r="D33" s="2">
        <v>4.45</v>
      </c>
      <c r="E33" s="3">
        <v>92.463768115942031</v>
      </c>
      <c r="F33" s="2">
        <v>0.3</v>
      </c>
      <c r="G33" s="2">
        <v>9.5</v>
      </c>
      <c r="H33" s="2">
        <v>400</v>
      </c>
      <c r="I33" s="2">
        <v>28.6</v>
      </c>
      <c r="J33" s="2">
        <v>0.96</v>
      </c>
      <c r="K33" s="4">
        <f t="shared" si="0"/>
        <v>48.543060418010811</v>
      </c>
    </row>
    <row r="34" spans="1:11" x14ac:dyDescent="0.25">
      <c r="A34" s="2">
        <v>25</v>
      </c>
      <c r="B34" s="2">
        <v>9.1999999999999993</v>
      </c>
      <c r="C34" s="2">
        <v>11.5</v>
      </c>
      <c r="D34" s="2">
        <v>4.5</v>
      </c>
      <c r="E34" s="3">
        <v>90.625</v>
      </c>
      <c r="F34" s="2">
        <v>2.5</v>
      </c>
      <c r="G34" s="2">
        <v>9.7100000000000009</v>
      </c>
      <c r="H34" s="2">
        <v>539</v>
      </c>
      <c r="I34" s="2">
        <v>28</v>
      </c>
      <c r="J34" s="2">
        <v>0.95</v>
      </c>
      <c r="K34" s="4">
        <f t="shared" si="0"/>
        <v>47.155692661554802</v>
      </c>
    </row>
    <row r="35" spans="1:11" x14ac:dyDescent="0.25">
      <c r="A35" s="2">
        <v>26</v>
      </c>
      <c r="B35" s="2">
        <v>9.5</v>
      </c>
      <c r="C35" s="2">
        <v>12</v>
      </c>
      <c r="D35" s="2">
        <v>4.5999999999999996</v>
      </c>
      <c r="E35" s="3">
        <v>89.812734082397</v>
      </c>
      <c r="F35" s="2">
        <v>2</v>
      </c>
      <c r="G35" s="2">
        <v>10</v>
      </c>
      <c r="H35" s="2">
        <v>531</v>
      </c>
      <c r="I35" s="2">
        <v>29</v>
      </c>
      <c r="J35" s="2">
        <v>0.8</v>
      </c>
      <c r="K35" s="4">
        <f t="shared" si="0"/>
        <v>47.373034768174868</v>
      </c>
    </row>
    <row r="36" spans="1:11" x14ac:dyDescent="0.25">
      <c r="A36" s="2">
        <v>21</v>
      </c>
      <c r="B36" s="2">
        <v>9.3000000000000007</v>
      </c>
      <c r="C36" s="2">
        <v>11.5</v>
      </c>
      <c r="D36" s="2">
        <v>4.5999999999999996</v>
      </c>
      <c r="E36" s="3">
        <v>89.361702127659569</v>
      </c>
      <c r="F36" s="2">
        <v>2</v>
      </c>
      <c r="G36" s="2">
        <v>9.8000000000000007</v>
      </c>
      <c r="H36" s="2">
        <v>325</v>
      </c>
      <c r="I36" s="2">
        <v>32</v>
      </c>
      <c r="J36" s="2">
        <v>0.86</v>
      </c>
      <c r="K36" s="4">
        <f t="shared" si="0"/>
        <v>49.932666173410318</v>
      </c>
    </row>
    <row r="37" spans="1:11" x14ac:dyDescent="0.25">
      <c r="A37" s="2">
        <v>24</v>
      </c>
      <c r="B37" s="2">
        <v>9</v>
      </c>
      <c r="C37" s="2">
        <v>12.15</v>
      </c>
      <c r="D37" s="2">
        <v>4.45</v>
      </c>
      <c r="E37" s="3">
        <v>92.121212121212125</v>
      </c>
      <c r="F37" s="2">
        <v>0.3</v>
      </c>
      <c r="G37" s="2">
        <v>8.6999999999999993</v>
      </c>
      <c r="H37" s="2">
        <v>473</v>
      </c>
      <c r="I37" s="2">
        <v>28</v>
      </c>
      <c r="J37" s="2">
        <v>1</v>
      </c>
      <c r="K37" s="4">
        <f t="shared" si="0"/>
        <v>47.72296890604408</v>
      </c>
    </row>
    <row r="38" spans="1:11" x14ac:dyDescent="0.25">
      <c r="A38" s="2">
        <v>25</v>
      </c>
      <c r="B38" s="2">
        <v>9.1999999999999993</v>
      </c>
      <c r="C38" s="2">
        <v>10.4</v>
      </c>
      <c r="D38" s="2">
        <v>4.2</v>
      </c>
      <c r="E38" s="3">
        <v>85.580524344569284</v>
      </c>
      <c r="F38" s="2">
        <v>2</v>
      </c>
      <c r="G38" s="2">
        <v>9.6999999999999993</v>
      </c>
      <c r="H38" s="2">
        <v>446</v>
      </c>
      <c r="I38" s="2">
        <v>30</v>
      </c>
      <c r="J38" s="2">
        <v>1.2</v>
      </c>
      <c r="K38" s="4">
        <f t="shared" si="0"/>
        <v>48.277863960075209</v>
      </c>
    </row>
    <row r="39" spans="1:11" x14ac:dyDescent="0.25">
      <c r="A39" s="2">
        <v>24</v>
      </c>
      <c r="B39" s="2">
        <v>9.1999999999999993</v>
      </c>
      <c r="C39" s="2">
        <v>11.5</v>
      </c>
      <c r="D39" s="2">
        <v>4.2</v>
      </c>
      <c r="E39" s="3">
        <v>90.82437275985663</v>
      </c>
      <c r="F39" s="2">
        <v>2</v>
      </c>
      <c r="G39" s="2">
        <v>9.6999999999999993</v>
      </c>
      <c r="H39" s="2">
        <v>347</v>
      </c>
      <c r="I39" s="2">
        <v>29</v>
      </c>
      <c r="J39" s="2">
        <v>0.82</v>
      </c>
      <c r="K39" s="4">
        <f t="shared" si="0"/>
        <v>49.220685231080822</v>
      </c>
    </row>
    <row r="40" spans="1:11" x14ac:dyDescent="0.25">
      <c r="A40" s="2">
        <v>23</v>
      </c>
      <c r="B40" s="2">
        <v>9.6</v>
      </c>
      <c r="C40" s="2">
        <v>10.5</v>
      </c>
      <c r="D40" s="2">
        <v>4.0999999999999996</v>
      </c>
      <c r="E40" s="3">
        <v>91.754385964912274</v>
      </c>
      <c r="F40" s="2">
        <v>4</v>
      </c>
      <c r="G40" s="2">
        <v>10</v>
      </c>
      <c r="H40" s="2">
        <v>336</v>
      </c>
      <c r="I40" s="2">
        <v>29</v>
      </c>
      <c r="J40" s="2">
        <v>0.86</v>
      </c>
      <c r="K40" s="4">
        <f t="shared" si="0"/>
        <v>49.360587205091122</v>
      </c>
    </row>
    <row r="41" spans="1:11" x14ac:dyDescent="0.25">
      <c r="A41" s="2">
        <v>21</v>
      </c>
      <c r="B41" s="2">
        <v>8.9</v>
      </c>
      <c r="C41" s="2">
        <v>11</v>
      </c>
      <c r="D41" s="2">
        <v>4.2</v>
      </c>
      <c r="E41" s="3">
        <v>92.633517495395949</v>
      </c>
      <c r="F41" s="2">
        <v>6</v>
      </c>
      <c r="G41" s="2">
        <v>9.4</v>
      </c>
      <c r="H41" s="2">
        <v>325</v>
      </c>
      <c r="I41" s="2">
        <v>25</v>
      </c>
      <c r="J41" s="2">
        <v>0.96</v>
      </c>
      <c r="K41" s="4">
        <f t="shared" si="0"/>
        <v>48.860566476931631</v>
      </c>
    </row>
    <row r="42" spans="1:11" x14ac:dyDescent="0.25">
      <c r="A42" s="2">
        <v>28</v>
      </c>
      <c r="B42" s="2">
        <v>9.4</v>
      </c>
      <c r="C42" s="2">
        <v>11</v>
      </c>
      <c r="D42" s="2">
        <v>4.3</v>
      </c>
      <c r="E42" s="3">
        <v>92.013888888888886</v>
      </c>
      <c r="F42" s="2">
        <v>3</v>
      </c>
      <c r="G42" s="2">
        <v>9.4</v>
      </c>
      <c r="H42" s="2">
        <v>357</v>
      </c>
      <c r="I42" s="2">
        <v>31</v>
      </c>
      <c r="J42" s="2">
        <v>1.1399999999999999</v>
      </c>
      <c r="K42" s="4">
        <f t="shared" si="0"/>
        <v>49.386934777220795</v>
      </c>
    </row>
    <row r="43" spans="1:11" x14ac:dyDescent="0.25">
      <c r="A43" s="2">
        <v>24</v>
      </c>
      <c r="B43" s="2">
        <v>9.9</v>
      </c>
      <c r="C43" s="2">
        <v>10.199999999999999</v>
      </c>
      <c r="D43" s="2">
        <v>3.95</v>
      </c>
      <c r="E43" s="3">
        <v>90.212765957446805</v>
      </c>
      <c r="F43" s="2">
        <v>1</v>
      </c>
      <c r="G43" s="2">
        <v>10.4</v>
      </c>
      <c r="H43" s="2">
        <v>705</v>
      </c>
      <c r="I43" s="2">
        <v>31</v>
      </c>
      <c r="J43" s="2">
        <v>0.9</v>
      </c>
      <c r="K43" s="4">
        <f t="shared" si="0"/>
        <v>46.431725768428734</v>
      </c>
    </row>
    <row r="44" spans="1:11" x14ac:dyDescent="0.25">
      <c r="A44" s="2">
        <v>26</v>
      </c>
      <c r="B44" s="2">
        <v>9</v>
      </c>
      <c r="C44" s="2">
        <v>10.6</v>
      </c>
      <c r="D44" s="2">
        <v>4.2</v>
      </c>
      <c r="E44" s="3">
        <v>90.476190476190482</v>
      </c>
      <c r="F44" s="2">
        <v>2</v>
      </c>
      <c r="G44" s="2">
        <v>9.49</v>
      </c>
      <c r="H44" s="2">
        <v>390</v>
      </c>
      <c r="I44" s="2">
        <v>27</v>
      </c>
      <c r="J44" s="2">
        <v>0.9</v>
      </c>
      <c r="K44" s="4">
        <f t="shared" si="0"/>
        <v>48.402991571324883</v>
      </c>
    </row>
    <row r="45" spans="1:11" x14ac:dyDescent="0.25">
      <c r="A45" s="2">
        <v>22</v>
      </c>
      <c r="B45" s="2">
        <v>9.4</v>
      </c>
      <c r="C45" s="2">
        <v>11</v>
      </c>
      <c r="D45" s="2">
        <v>4.3</v>
      </c>
      <c r="E45" s="3">
        <v>91.222780569514242</v>
      </c>
      <c r="F45" s="2">
        <v>2</v>
      </c>
      <c r="G45" s="2">
        <v>9.9</v>
      </c>
      <c r="H45" s="2">
        <v>401</v>
      </c>
      <c r="I45" s="2">
        <v>27</v>
      </c>
      <c r="J45" s="2">
        <v>0.97</v>
      </c>
      <c r="K45" s="4">
        <f t="shared" si="0"/>
        <v>48.282193915388049</v>
      </c>
    </row>
    <row r="46" spans="1:11" x14ac:dyDescent="0.25">
      <c r="A46" s="2">
        <v>21</v>
      </c>
      <c r="B46" s="2">
        <v>9.6</v>
      </c>
      <c r="C46" s="2">
        <v>10.5</v>
      </c>
      <c r="D46" s="2">
        <v>3.9</v>
      </c>
      <c r="E46" s="3">
        <v>92.490421455938716</v>
      </c>
      <c r="F46" s="2">
        <v>0.1</v>
      </c>
      <c r="G46" s="4">
        <v>10.120950000000001</v>
      </c>
      <c r="H46" s="2">
        <v>50</v>
      </c>
      <c r="I46" s="2">
        <v>24.8</v>
      </c>
      <c r="J46" s="5">
        <v>0.87</v>
      </c>
      <c r="K46" s="4">
        <f t="shared" si="0"/>
        <v>56.95481676490197</v>
      </c>
    </row>
    <row r="47" spans="1:11" x14ac:dyDescent="0.25">
      <c r="A47" s="2">
        <v>22</v>
      </c>
      <c r="B47" s="2">
        <v>9.3000000000000007</v>
      </c>
      <c r="C47" s="2">
        <v>10.5</v>
      </c>
      <c r="D47" s="2">
        <v>4</v>
      </c>
      <c r="E47" s="3">
        <v>87.037037037037038</v>
      </c>
      <c r="F47" s="2">
        <v>0.1</v>
      </c>
      <c r="G47" s="4">
        <v>9.8070000000000022</v>
      </c>
      <c r="H47" s="2">
        <v>400</v>
      </c>
      <c r="I47" s="2">
        <v>30</v>
      </c>
      <c r="J47" s="5">
        <v>1.02</v>
      </c>
      <c r="K47" s="4">
        <f t="shared" si="0"/>
        <v>48.750612633917001</v>
      </c>
    </row>
    <row r="48" spans="1:11" x14ac:dyDescent="0.25">
      <c r="A48" s="2">
        <v>24</v>
      </c>
      <c r="B48" s="2">
        <v>9.6</v>
      </c>
      <c r="C48" s="2">
        <v>10.5</v>
      </c>
      <c r="D48" s="2">
        <v>4.0999999999999996</v>
      </c>
      <c r="E48" s="3">
        <v>92.454212454212453</v>
      </c>
      <c r="F48" s="2">
        <v>0.1</v>
      </c>
      <c r="G48" s="4">
        <v>10.123049999999999</v>
      </c>
      <c r="H48" s="2">
        <v>400</v>
      </c>
      <c r="I48" s="2">
        <v>25.2</v>
      </c>
      <c r="J48" s="5">
        <v>1.1299999999999999</v>
      </c>
      <c r="K48" s="4">
        <f t="shared" si="0"/>
        <v>47.993405494535821</v>
      </c>
    </row>
    <row r="49" spans="1:11" x14ac:dyDescent="0.25">
      <c r="A49" s="2">
        <v>24</v>
      </c>
      <c r="B49" s="2">
        <v>9.9</v>
      </c>
      <c r="C49" s="2">
        <v>11</v>
      </c>
      <c r="D49" s="2">
        <v>4.0999999999999996</v>
      </c>
      <c r="E49" s="3">
        <v>87.83687943262413</v>
      </c>
      <c r="F49" s="2">
        <v>0.1</v>
      </c>
      <c r="G49" s="4">
        <v>10.440100000000001</v>
      </c>
      <c r="H49" s="2">
        <v>200</v>
      </c>
      <c r="I49" s="2">
        <v>31.6</v>
      </c>
      <c r="J49" s="5">
        <v>0.94</v>
      </c>
      <c r="K49" s="4">
        <f t="shared" si="0"/>
        <v>51.986570869544224</v>
      </c>
    </row>
    <row r="50" spans="1:11" x14ac:dyDescent="0.25">
      <c r="A50" s="2">
        <v>20</v>
      </c>
      <c r="B50" s="2">
        <v>9.4</v>
      </c>
      <c r="C50" s="2">
        <v>10.5</v>
      </c>
      <c r="D50" s="2">
        <v>3.9</v>
      </c>
      <c r="E50" s="3">
        <v>91.1111111111111</v>
      </c>
      <c r="F50" s="2">
        <v>0.1</v>
      </c>
      <c r="G50" s="4">
        <v>9.9109500000000015</v>
      </c>
      <c r="H50" s="2">
        <v>280</v>
      </c>
      <c r="I50" s="2">
        <v>29.2</v>
      </c>
      <c r="J50" s="5">
        <v>1.21</v>
      </c>
      <c r="K50" s="4">
        <f t="shared" si="0"/>
        <v>50.182248201061988</v>
      </c>
    </row>
    <row r="51" spans="1:11" x14ac:dyDescent="0.25">
      <c r="A51" s="2">
        <v>27</v>
      </c>
      <c r="B51" s="2">
        <v>9.1999999999999993</v>
      </c>
      <c r="C51" s="2">
        <v>10</v>
      </c>
      <c r="D51" s="2">
        <v>3.9</v>
      </c>
      <c r="E51" s="3">
        <v>91.418439716312065</v>
      </c>
      <c r="F51" s="2">
        <v>0.1</v>
      </c>
      <c r="G51" s="4">
        <v>9.6989999999999981</v>
      </c>
      <c r="H51" s="2">
        <v>90</v>
      </c>
      <c r="I51" s="2">
        <v>24</v>
      </c>
      <c r="J51" s="5">
        <v>0.53</v>
      </c>
      <c r="K51" s="4">
        <f t="shared" si="0"/>
        <v>54.259687322722812</v>
      </c>
    </row>
    <row r="52" spans="1:11" x14ac:dyDescent="0.25">
      <c r="A52" s="2">
        <v>24</v>
      </c>
      <c r="B52" s="2">
        <v>9.6</v>
      </c>
      <c r="C52" s="2">
        <v>10.5</v>
      </c>
      <c r="D52" s="2">
        <v>3.9</v>
      </c>
      <c r="E52" s="3">
        <v>90.636704119850179</v>
      </c>
      <c r="F52" s="2">
        <v>0.1</v>
      </c>
      <c r="G52" s="4">
        <v>10.120950000000001</v>
      </c>
      <c r="H52" s="2">
        <v>470</v>
      </c>
      <c r="I52" s="2">
        <v>34.4</v>
      </c>
      <c r="J52" s="5">
        <v>0.64</v>
      </c>
      <c r="K52" s="4">
        <f t="shared" si="0"/>
        <v>48.644605846358132</v>
      </c>
    </row>
    <row r="53" spans="1:11" x14ac:dyDescent="0.25">
      <c r="A53" s="2">
        <v>22</v>
      </c>
      <c r="B53" s="2">
        <v>9.5</v>
      </c>
      <c r="C53" s="2">
        <v>10.5</v>
      </c>
      <c r="D53" s="2">
        <v>4</v>
      </c>
      <c r="E53" s="3">
        <v>86.950354609929079</v>
      </c>
      <c r="F53" s="2">
        <v>0.1</v>
      </c>
      <c r="G53" s="4">
        <v>10.016999999999999</v>
      </c>
      <c r="H53" s="2">
        <v>290</v>
      </c>
      <c r="I53" s="2">
        <v>28.4</v>
      </c>
      <c r="J53" s="5">
        <v>0.77</v>
      </c>
      <c r="K53" s="4">
        <f t="shared" si="0"/>
        <v>49.909203421480811</v>
      </c>
    </row>
    <row r="54" spans="1:11" x14ac:dyDescent="0.25">
      <c r="A54" s="2">
        <v>22</v>
      </c>
      <c r="B54" s="2">
        <v>9.6</v>
      </c>
      <c r="C54" s="2">
        <v>11</v>
      </c>
      <c r="D54" s="2">
        <v>3.9</v>
      </c>
      <c r="E54" s="3">
        <v>90.709219858156033</v>
      </c>
      <c r="F54" s="2">
        <v>0.1</v>
      </c>
      <c r="G54" s="4">
        <v>10.1229</v>
      </c>
      <c r="H54" s="2">
        <v>480</v>
      </c>
      <c r="I54" s="2">
        <v>29.6</v>
      </c>
      <c r="J54" s="5">
        <v>0.91</v>
      </c>
      <c r="K54" s="4">
        <f t="shared" si="0"/>
        <v>47.900504736833511</v>
      </c>
    </row>
    <row r="55" spans="1:11" x14ac:dyDescent="0.25">
      <c r="A55" s="2">
        <v>22</v>
      </c>
      <c r="B55" s="2">
        <v>9.6999999999999993</v>
      </c>
      <c r="C55" s="2">
        <v>10</v>
      </c>
      <c r="D55" s="2">
        <v>3.8</v>
      </c>
      <c r="E55" s="3">
        <v>88.913043478260875</v>
      </c>
      <c r="F55" s="2">
        <v>0.1</v>
      </c>
      <c r="G55" s="4">
        <v>10.223000000000001</v>
      </c>
      <c r="H55" s="2">
        <v>280</v>
      </c>
      <c r="I55" s="2">
        <v>28</v>
      </c>
      <c r="J55" s="5">
        <v>1.1299999999999999</v>
      </c>
      <c r="K55" s="4">
        <f t="shared" si="0"/>
        <v>50</v>
      </c>
    </row>
    <row r="56" spans="1:11" x14ac:dyDescent="0.25">
      <c r="A56" s="2">
        <v>20</v>
      </c>
      <c r="B56" s="2">
        <v>9.5</v>
      </c>
      <c r="C56" s="2">
        <v>10.7</v>
      </c>
      <c r="D56" s="2">
        <v>4.2</v>
      </c>
      <c r="E56" s="3">
        <v>90.957446808510639</v>
      </c>
      <c r="F56" s="2">
        <v>0.2</v>
      </c>
      <c r="G56" s="2">
        <v>9.1999999999999993</v>
      </c>
      <c r="H56" s="2">
        <v>369</v>
      </c>
      <c r="I56" s="2">
        <v>30</v>
      </c>
      <c r="J56" s="2">
        <v>0.77</v>
      </c>
      <c r="K56" s="4">
        <f t="shared" si="0"/>
        <v>49.100948885606016</v>
      </c>
    </row>
    <row r="57" spans="1:11" x14ac:dyDescent="0.25">
      <c r="A57" s="2">
        <v>24</v>
      </c>
      <c r="B57" s="2">
        <v>9.9</v>
      </c>
      <c r="C57" s="2">
        <v>11.1</v>
      </c>
      <c r="D57" s="2">
        <v>4.3</v>
      </c>
      <c r="E57" s="3">
        <v>90.208333333333329</v>
      </c>
      <c r="F57" s="2">
        <v>0.46</v>
      </c>
      <c r="G57" s="2">
        <v>10.4</v>
      </c>
      <c r="H57" s="2">
        <v>640</v>
      </c>
      <c r="I57" s="2">
        <v>28.21</v>
      </c>
      <c r="J57" s="2">
        <v>1.28</v>
      </c>
      <c r="K57" s="4">
        <f t="shared" si="0"/>
        <v>46.442231121714798</v>
      </c>
    </row>
    <row r="58" spans="1:11" x14ac:dyDescent="0.25">
      <c r="A58" s="2">
        <v>22</v>
      </c>
      <c r="B58" s="2">
        <v>8.6</v>
      </c>
      <c r="C58" s="2">
        <v>11.6</v>
      </c>
      <c r="D58" s="2">
        <v>4.3</v>
      </c>
      <c r="E58" s="3">
        <v>90.280701754385959</v>
      </c>
      <c r="F58" s="2">
        <v>1.5</v>
      </c>
      <c r="G58" s="2">
        <v>9.1</v>
      </c>
      <c r="H58" s="2">
        <v>662</v>
      </c>
      <c r="I58" s="2">
        <v>27</v>
      </c>
      <c r="J58" s="2">
        <v>1.1000000000000001</v>
      </c>
      <c r="K58" s="4">
        <f t="shared" si="0"/>
        <v>46.105057747192873</v>
      </c>
    </row>
    <row r="59" spans="1:11" x14ac:dyDescent="0.25">
      <c r="A59" s="2">
        <v>22</v>
      </c>
      <c r="B59" s="2">
        <v>9.6999999999999993</v>
      </c>
      <c r="C59" s="2">
        <v>10.6</v>
      </c>
      <c r="D59" s="2">
        <v>4.4000000000000004</v>
      </c>
      <c r="E59" s="3">
        <v>92.446808510638306</v>
      </c>
      <c r="F59" s="2">
        <v>1</v>
      </c>
      <c r="G59" s="2">
        <v>10.199999999999999</v>
      </c>
      <c r="H59" s="2">
        <v>390</v>
      </c>
      <c r="I59" s="2">
        <v>32</v>
      </c>
      <c r="J59" s="2">
        <v>1.3</v>
      </c>
      <c r="K59" s="4">
        <f t="shared" si="0"/>
        <v>49.140853712934067</v>
      </c>
    </row>
    <row r="60" spans="1:11" x14ac:dyDescent="0.25">
      <c r="A60" s="2">
        <v>25</v>
      </c>
      <c r="B60" s="2">
        <v>8.9</v>
      </c>
      <c r="C60" s="2">
        <v>11.5</v>
      </c>
      <c r="D60" s="2">
        <v>4.45</v>
      </c>
      <c r="E60" s="3">
        <v>92.920962199312712</v>
      </c>
      <c r="F60" s="2">
        <v>3</v>
      </c>
      <c r="G60" s="2">
        <v>9.4</v>
      </c>
      <c r="H60" s="2">
        <v>228</v>
      </c>
      <c r="I60" s="2">
        <v>27</v>
      </c>
      <c r="J60" s="2">
        <v>0.95</v>
      </c>
      <c r="K60" s="4">
        <f t="shared" si="0"/>
        <v>50.734289171585338</v>
      </c>
    </row>
    <row r="61" spans="1:11" x14ac:dyDescent="0.25">
      <c r="A61" s="2">
        <v>20</v>
      </c>
      <c r="B61" s="2">
        <v>9.4</v>
      </c>
      <c r="C61" s="2">
        <v>12.6</v>
      </c>
      <c r="D61" s="2">
        <v>4.5999999999999996</v>
      </c>
      <c r="E61" s="3">
        <v>90.248226950354621</v>
      </c>
      <c r="F61" s="2">
        <v>2</v>
      </c>
      <c r="G61" s="2">
        <v>9.93</v>
      </c>
      <c r="H61" s="2">
        <v>358</v>
      </c>
      <c r="I61" s="2">
        <v>30</v>
      </c>
      <c r="J61" s="2">
        <v>1.4</v>
      </c>
      <c r="K61" s="4">
        <f t="shared" si="0"/>
        <v>49.232382280757882</v>
      </c>
    </row>
    <row r="62" spans="1:11" x14ac:dyDescent="0.25">
      <c r="A62" s="2">
        <v>27</v>
      </c>
      <c r="B62" s="2">
        <v>8.5</v>
      </c>
      <c r="C62" s="2">
        <v>11</v>
      </c>
      <c r="D62" s="2">
        <v>4.2</v>
      </c>
      <c r="E62" s="3">
        <v>90.501792114695348</v>
      </c>
      <c r="F62" s="2">
        <v>2</v>
      </c>
      <c r="G62" s="2">
        <v>8.9</v>
      </c>
      <c r="H62" s="2">
        <v>542</v>
      </c>
      <c r="I62" s="2">
        <v>23</v>
      </c>
      <c r="J62" s="2">
        <v>0.8</v>
      </c>
      <c r="K62" s="4">
        <f t="shared" si="0"/>
        <v>46.277285494792054</v>
      </c>
    </row>
    <row r="63" spans="1:11" x14ac:dyDescent="0.25">
      <c r="A63" s="2">
        <v>24</v>
      </c>
      <c r="B63" s="2">
        <v>9.5</v>
      </c>
      <c r="C63" s="2">
        <v>11.5</v>
      </c>
      <c r="D63" s="2">
        <v>4.5999999999999996</v>
      </c>
      <c r="E63" s="3">
        <v>89.966329966329965</v>
      </c>
      <c r="F63" s="2">
        <v>0.1</v>
      </c>
      <c r="G63" s="4">
        <v>10.027899999999999</v>
      </c>
      <c r="H63" s="2">
        <v>150</v>
      </c>
      <c r="I63" s="2">
        <v>26.4</v>
      </c>
      <c r="J63" s="2">
        <v>0.69</v>
      </c>
      <c r="K63" s="4">
        <f t="shared" si="0"/>
        <v>52.455126678141497</v>
      </c>
    </row>
    <row r="64" spans="1:11" x14ac:dyDescent="0.25">
      <c r="A64" s="2">
        <v>22</v>
      </c>
      <c r="B64" s="2">
        <v>9.6</v>
      </c>
      <c r="C64" s="2">
        <v>11</v>
      </c>
      <c r="D64" s="2">
        <v>4.0999999999999996</v>
      </c>
      <c r="E64" s="3">
        <v>88.844884488448841</v>
      </c>
      <c r="F64" s="2">
        <v>0.1</v>
      </c>
      <c r="G64" s="4">
        <v>10.1251</v>
      </c>
      <c r="H64" s="2">
        <v>160</v>
      </c>
      <c r="I64" s="2">
        <v>30</v>
      </c>
      <c r="J64" s="2">
        <v>0.69</v>
      </c>
      <c r="K64" s="4">
        <f t="shared" si="0"/>
        <v>52.730012720637376</v>
      </c>
    </row>
    <row r="65" spans="1:11" x14ac:dyDescent="0.25">
      <c r="A65" s="2">
        <v>19</v>
      </c>
      <c r="B65" s="2">
        <v>9.5</v>
      </c>
      <c r="C65" s="2">
        <v>10.5</v>
      </c>
      <c r="D65" s="2">
        <v>3.9</v>
      </c>
      <c r="E65" s="3">
        <v>90.89108910891089</v>
      </c>
      <c r="F65" s="2">
        <v>0.1</v>
      </c>
      <c r="G65" s="4">
        <v>10.01595</v>
      </c>
      <c r="H65" s="2">
        <v>230</v>
      </c>
      <c r="I65" s="2">
        <v>32.4</v>
      </c>
      <c r="J65" s="2">
        <v>0.77</v>
      </c>
      <c r="K65" s="4">
        <f t="shared" si="0"/>
        <v>51.488171741890191</v>
      </c>
    </row>
    <row r="66" spans="1:11" x14ac:dyDescent="0.25">
      <c r="A66" s="2">
        <v>22</v>
      </c>
      <c r="B66" s="2">
        <v>9.5</v>
      </c>
      <c r="C66" s="2">
        <v>11.5</v>
      </c>
      <c r="D66" s="2">
        <v>4.0999999999999996</v>
      </c>
      <c r="E66" s="3">
        <v>89.45017182130583</v>
      </c>
      <c r="F66" s="2">
        <v>0.1</v>
      </c>
      <c r="G66" s="4">
        <v>10.02215</v>
      </c>
      <c r="H66" s="2">
        <v>400</v>
      </c>
      <c r="I66" s="2">
        <v>29.6</v>
      </c>
      <c r="J66" s="2">
        <v>1.06</v>
      </c>
      <c r="K66" s="4">
        <f t="shared" ref="K66:K91" si="1">10*LOG((I66*1000)/(H66/1000))</f>
        <v>48.692317197309762</v>
      </c>
    </row>
    <row r="67" spans="1:11" x14ac:dyDescent="0.25">
      <c r="A67" s="2">
        <v>24</v>
      </c>
      <c r="B67" s="2">
        <v>9.6999999999999993</v>
      </c>
      <c r="C67" s="2">
        <v>11</v>
      </c>
      <c r="D67" s="2">
        <v>4</v>
      </c>
      <c r="E67" s="3">
        <v>92.048611111111114</v>
      </c>
      <c r="F67" s="2">
        <v>0.1</v>
      </c>
      <c r="G67" s="4">
        <v>10.228999999999999</v>
      </c>
      <c r="H67" s="2">
        <v>150</v>
      </c>
      <c r="I67" s="2">
        <v>30</v>
      </c>
      <c r="J67" s="2">
        <v>0.71</v>
      </c>
      <c r="K67" s="4">
        <f t="shared" si="1"/>
        <v>53.010299956639813</v>
      </c>
    </row>
    <row r="68" spans="1:11" x14ac:dyDescent="0.25">
      <c r="A68" s="2">
        <v>27</v>
      </c>
      <c r="B68" s="2">
        <v>9.9</v>
      </c>
      <c r="C68" s="2">
        <v>10.5</v>
      </c>
      <c r="D68" s="2">
        <v>4</v>
      </c>
      <c r="E68" s="3">
        <v>90.245614035087726</v>
      </c>
      <c r="F68" s="2">
        <v>0.1</v>
      </c>
      <c r="G68" s="4">
        <v>10.436999999999999</v>
      </c>
      <c r="H68" s="2">
        <v>260</v>
      </c>
      <c r="I68" s="2">
        <v>32</v>
      </c>
      <c r="J68" s="2">
        <v>1.06</v>
      </c>
      <c r="K68" s="4">
        <f t="shared" si="1"/>
        <v>50.901766303490881</v>
      </c>
    </row>
    <row r="69" spans="1:11" x14ac:dyDescent="0.25">
      <c r="A69" s="2">
        <v>24</v>
      </c>
      <c r="B69" s="2">
        <v>10</v>
      </c>
      <c r="C69" s="2">
        <v>10.5</v>
      </c>
      <c r="D69" s="2">
        <v>4</v>
      </c>
      <c r="E69" s="3">
        <v>91.076388888888886</v>
      </c>
      <c r="F69" s="2">
        <v>0.1</v>
      </c>
      <c r="G69" s="4">
        <v>10.542</v>
      </c>
      <c r="H69" s="2">
        <v>180</v>
      </c>
      <c r="I69" s="2">
        <v>30.4</v>
      </c>
      <c r="J69" s="2">
        <v>0.71</v>
      </c>
      <c r="K69" s="4">
        <f t="shared" si="1"/>
        <v>52.276010785054474</v>
      </c>
    </row>
    <row r="70" spans="1:11" x14ac:dyDescent="0.25">
      <c r="A70" s="2">
        <v>20</v>
      </c>
      <c r="B70" s="2">
        <v>9.6999999999999993</v>
      </c>
      <c r="C70" s="2">
        <v>10</v>
      </c>
      <c r="D70" s="2">
        <v>3.8</v>
      </c>
      <c r="E70" s="3">
        <v>92.199312714776639</v>
      </c>
      <c r="F70" s="2">
        <v>0.1</v>
      </c>
      <c r="G70" s="4">
        <v>10.223000000000001</v>
      </c>
      <c r="H70" s="2">
        <v>230</v>
      </c>
      <c r="I70" s="2">
        <v>32.4</v>
      </c>
      <c r="J70" s="5">
        <v>0.88</v>
      </c>
      <c r="K70" s="4">
        <f t="shared" si="1"/>
        <v>51.488171741890191</v>
      </c>
    </row>
    <row r="71" spans="1:11" x14ac:dyDescent="0.25">
      <c r="A71" s="2">
        <v>23</v>
      </c>
      <c r="B71" s="2">
        <v>8.6999999999999993</v>
      </c>
      <c r="C71" s="2">
        <v>11</v>
      </c>
      <c r="D71" s="2">
        <v>4.2</v>
      </c>
      <c r="E71" s="3">
        <v>90.615942028985501</v>
      </c>
      <c r="F71" s="2">
        <v>2</v>
      </c>
      <c r="G71" s="2">
        <v>9.8000000000000007</v>
      </c>
      <c r="H71" s="2">
        <v>629</v>
      </c>
      <c r="I71" s="2">
        <v>29</v>
      </c>
      <c r="J71" s="2">
        <v>0.76</v>
      </c>
      <c r="K71" s="4">
        <f t="shared" si="1"/>
        <v>46.637473524536873</v>
      </c>
    </row>
    <row r="72" spans="1:11" x14ac:dyDescent="0.25">
      <c r="A72" s="2">
        <v>28</v>
      </c>
      <c r="B72" s="2">
        <v>9</v>
      </c>
      <c r="C72" s="2">
        <v>12.6</v>
      </c>
      <c r="D72" s="2">
        <v>4.5999999999999996</v>
      </c>
      <c r="E72" s="3">
        <v>89.421768707482983</v>
      </c>
      <c r="F72" s="2">
        <v>3</v>
      </c>
      <c r="G72" s="2">
        <v>9.5</v>
      </c>
      <c r="H72" s="2">
        <v>694</v>
      </c>
      <c r="I72" s="2">
        <v>28</v>
      </c>
      <c r="J72" s="2">
        <v>1.05</v>
      </c>
      <c r="K72" s="4">
        <f t="shared" si="1"/>
        <v>46.057985608873643</v>
      </c>
    </row>
    <row r="73" spans="1:11" x14ac:dyDescent="0.25">
      <c r="A73" s="2">
        <v>24</v>
      </c>
      <c r="B73" s="2">
        <v>9.4</v>
      </c>
      <c r="C73" s="2">
        <v>11</v>
      </c>
      <c r="D73" s="2">
        <v>4.4000000000000004</v>
      </c>
      <c r="E73" s="3">
        <v>93.12714776632302</v>
      </c>
      <c r="F73" s="2">
        <v>2</v>
      </c>
      <c r="G73" s="2">
        <v>9.92</v>
      </c>
      <c r="H73" s="2">
        <v>428</v>
      </c>
      <c r="I73" s="2">
        <v>30</v>
      </c>
      <c r="J73" s="2">
        <v>1.22</v>
      </c>
      <c r="K73" s="4">
        <f t="shared" si="1"/>
        <v>48.4567748570649</v>
      </c>
    </row>
    <row r="74" spans="1:11" x14ac:dyDescent="0.25">
      <c r="A74" s="2">
        <v>27</v>
      </c>
      <c r="B74" s="2">
        <v>9.4</v>
      </c>
      <c r="C74" s="2">
        <v>11.5</v>
      </c>
      <c r="D74" s="2">
        <v>4.5999999999999996</v>
      </c>
      <c r="E74" s="3">
        <v>91.087719298245602</v>
      </c>
      <c r="F74" s="2">
        <v>2</v>
      </c>
      <c r="G74" s="2">
        <v>9.9</v>
      </c>
      <c r="H74" s="2">
        <v>596</v>
      </c>
      <c r="I74" s="2">
        <v>27</v>
      </c>
      <c r="J74" s="2">
        <v>1</v>
      </c>
      <c r="K74" s="4">
        <f t="shared" si="1"/>
        <v>46.561175044187515</v>
      </c>
    </row>
    <row r="75" spans="1:11" x14ac:dyDescent="0.25">
      <c r="A75" s="2">
        <v>22</v>
      </c>
      <c r="B75" s="2">
        <v>9.6</v>
      </c>
      <c r="C75" s="2">
        <v>11.2</v>
      </c>
      <c r="D75" s="2">
        <v>4.4000000000000004</v>
      </c>
      <c r="E75" s="3">
        <v>90.972222222222214</v>
      </c>
      <c r="F75" s="2">
        <v>0.2</v>
      </c>
      <c r="G75" s="2">
        <v>9.3000000000000007</v>
      </c>
      <c r="H75" s="2">
        <v>415</v>
      </c>
      <c r="I75" s="2">
        <v>30</v>
      </c>
      <c r="J75" s="2">
        <v>1.02</v>
      </c>
      <c r="K75" s="4">
        <f t="shared" si="1"/>
        <v>48.590731580075698</v>
      </c>
    </row>
    <row r="76" spans="1:11" x14ac:dyDescent="0.25">
      <c r="A76" s="2">
        <v>22</v>
      </c>
      <c r="B76" s="2">
        <v>9.5</v>
      </c>
      <c r="C76" s="2">
        <v>10.5</v>
      </c>
      <c r="D76" s="2">
        <v>3.9</v>
      </c>
      <c r="E76" s="3">
        <v>91.333333333333329</v>
      </c>
      <c r="F76" s="2">
        <v>0.1</v>
      </c>
      <c r="G76" s="4">
        <v>10.01595</v>
      </c>
      <c r="H76" s="2">
        <v>370</v>
      </c>
      <c r="I76" s="2">
        <v>28</v>
      </c>
      <c r="J76" s="5">
        <v>1.1100000000000001</v>
      </c>
      <c r="K76" s="4">
        <f t="shared" si="1"/>
        <v>48.789563072752244</v>
      </c>
    </row>
    <row r="77" spans="1:11" x14ac:dyDescent="0.25">
      <c r="A77" s="2">
        <v>21</v>
      </c>
      <c r="B77" s="2">
        <v>9.4</v>
      </c>
      <c r="C77" s="2">
        <v>10</v>
      </c>
      <c r="D77" s="2">
        <v>4</v>
      </c>
      <c r="E77" s="3">
        <v>89.543859649122808</v>
      </c>
      <c r="F77" s="2">
        <v>0.1</v>
      </c>
      <c r="G77" s="4">
        <v>9.91</v>
      </c>
      <c r="H77" s="2">
        <v>400</v>
      </c>
      <c r="I77" s="2">
        <v>33.6</v>
      </c>
      <c r="J77" s="5">
        <v>1.1399999999999999</v>
      </c>
      <c r="K77" s="4">
        <f t="shared" si="1"/>
        <v>49.24279286061882</v>
      </c>
    </row>
    <row r="78" spans="1:11" x14ac:dyDescent="0.25">
      <c r="A78" s="2">
        <v>28</v>
      </c>
      <c r="B78" s="2">
        <v>9.3000000000000007</v>
      </c>
      <c r="C78" s="2">
        <v>11</v>
      </c>
      <c r="D78" s="2">
        <v>4.2</v>
      </c>
      <c r="E78" s="3">
        <v>92.130584192439855</v>
      </c>
      <c r="F78" s="2">
        <v>0.1</v>
      </c>
      <c r="G78" s="4">
        <v>9.811200000000003</v>
      </c>
      <c r="H78" s="2">
        <v>250</v>
      </c>
      <c r="I78" s="2">
        <v>26.8</v>
      </c>
      <c r="J78" s="5">
        <v>0.82</v>
      </c>
      <c r="K78" s="4">
        <f t="shared" si="1"/>
        <v>50.301947853567512</v>
      </c>
    </row>
    <row r="79" spans="1:11" x14ac:dyDescent="0.25">
      <c r="A79" s="2">
        <v>26</v>
      </c>
      <c r="B79" s="2">
        <v>9.4</v>
      </c>
      <c r="C79" s="2">
        <v>11</v>
      </c>
      <c r="D79" s="2">
        <v>4.2</v>
      </c>
      <c r="E79" s="3">
        <v>89.764309764309758</v>
      </c>
      <c r="F79" s="2">
        <v>2</v>
      </c>
      <c r="G79" s="2">
        <v>9.9</v>
      </c>
      <c r="H79" s="2">
        <v>565</v>
      </c>
      <c r="I79" s="2">
        <v>31</v>
      </c>
      <c r="J79" s="2">
        <v>1.2</v>
      </c>
      <c r="K79" s="4">
        <f t="shared" si="1"/>
        <v>47.393132460148344</v>
      </c>
    </row>
    <row r="80" spans="1:11" x14ac:dyDescent="0.25">
      <c r="A80" s="2">
        <v>24</v>
      </c>
      <c r="B80" s="2">
        <v>8.9</v>
      </c>
      <c r="C80" s="2">
        <v>10.8</v>
      </c>
      <c r="D80" s="2">
        <v>4.3</v>
      </c>
      <c r="E80" s="3">
        <v>91.600000000000009</v>
      </c>
      <c r="F80" s="2">
        <v>4</v>
      </c>
      <c r="G80" s="2">
        <v>9.4</v>
      </c>
      <c r="H80" s="2">
        <v>260</v>
      </c>
      <c r="I80" s="2">
        <v>27</v>
      </c>
      <c r="J80" s="2">
        <v>1.36</v>
      </c>
      <c r="K80" s="4">
        <f t="shared" si="1"/>
        <v>50.163904161881696</v>
      </c>
    </row>
    <row r="81" spans="1:11" x14ac:dyDescent="0.25">
      <c r="A81" s="2">
        <v>24</v>
      </c>
      <c r="B81" s="2">
        <v>9.3000000000000007</v>
      </c>
      <c r="C81" s="2">
        <v>10.7</v>
      </c>
      <c r="D81" s="2">
        <v>4.2</v>
      </c>
      <c r="E81" s="3">
        <v>91.68384879725086</v>
      </c>
      <c r="F81" s="2">
        <v>2</v>
      </c>
      <c r="G81" s="2">
        <v>9.8000000000000007</v>
      </c>
      <c r="H81" s="2">
        <v>488</v>
      </c>
      <c r="I81" s="2">
        <v>24</v>
      </c>
      <c r="J81" s="2">
        <v>0.9</v>
      </c>
      <c r="K81" s="4">
        <f t="shared" si="1"/>
        <v>46.917914197088955</v>
      </c>
    </row>
    <row r="82" spans="1:11" x14ac:dyDescent="0.25">
      <c r="A82" s="2">
        <v>29</v>
      </c>
      <c r="B82" s="2">
        <v>9.5</v>
      </c>
      <c r="C82" s="2">
        <v>10.9</v>
      </c>
      <c r="D82" s="2">
        <v>4.3</v>
      </c>
      <c r="E82" s="3">
        <v>92.916666666666671</v>
      </c>
      <c r="F82" s="2">
        <v>2</v>
      </c>
      <c r="G82" s="2">
        <v>10.199999999999999</v>
      </c>
      <c r="H82" s="2">
        <v>402</v>
      </c>
      <c r="I82" s="2">
        <v>30</v>
      </c>
      <c r="J82" s="2">
        <v>0.95</v>
      </c>
      <c r="K82" s="4">
        <f t="shared" si="1"/>
        <v>48.728952016351926</v>
      </c>
    </row>
    <row r="83" spans="1:11" x14ac:dyDescent="0.25">
      <c r="A83" s="2">
        <v>23</v>
      </c>
      <c r="B83" s="2">
        <v>8.9</v>
      </c>
      <c r="C83" s="2">
        <v>11.5</v>
      </c>
      <c r="D83" s="2">
        <v>4.45</v>
      </c>
      <c r="E83" s="3">
        <v>88.315412186379945</v>
      </c>
      <c r="F83" s="2">
        <v>3</v>
      </c>
      <c r="G83" s="2">
        <v>9.4</v>
      </c>
      <c r="H83" s="2">
        <v>228</v>
      </c>
      <c r="I83" s="2">
        <v>27</v>
      </c>
      <c r="J83" s="2">
        <v>0.95</v>
      </c>
      <c r="K83" s="4">
        <f t="shared" si="1"/>
        <v>50.734289171585338</v>
      </c>
    </row>
    <row r="84" spans="1:11" x14ac:dyDescent="0.25">
      <c r="A84" s="2">
        <v>25</v>
      </c>
      <c r="B84" s="2">
        <v>9.0500000000000007</v>
      </c>
      <c r="C84" s="2">
        <v>11.1</v>
      </c>
      <c r="D84" s="2">
        <v>4.25</v>
      </c>
      <c r="E84" s="3">
        <v>90.798611111111114</v>
      </c>
      <c r="F84" s="2">
        <v>1.5</v>
      </c>
      <c r="G84" s="2">
        <v>9.5500000000000007</v>
      </c>
      <c r="H84" s="2">
        <v>336</v>
      </c>
      <c r="I84" s="2">
        <v>26</v>
      </c>
      <c r="J84" s="2">
        <v>0.9</v>
      </c>
      <c r="K84" s="4">
        <f t="shared" si="1"/>
        <v>48.886340705809737</v>
      </c>
    </row>
    <row r="85" spans="1:11" x14ac:dyDescent="0.25">
      <c r="A85" s="2">
        <v>28</v>
      </c>
      <c r="B85" s="2">
        <v>9.6</v>
      </c>
      <c r="C85" s="2">
        <v>11.6</v>
      </c>
      <c r="D85" s="2">
        <v>4.4000000000000004</v>
      </c>
      <c r="E85" s="3">
        <v>91.515151515151516</v>
      </c>
      <c r="F85" s="2">
        <v>2</v>
      </c>
      <c r="G85" s="2">
        <v>10</v>
      </c>
      <c r="H85" s="2">
        <v>293</v>
      </c>
      <c r="I85" s="2">
        <v>32</v>
      </c>
      <c r="J85" s="2">
        <v>0.82</v>
      </c>
      <c r="K85" s="4">
        <f t="shared" si="1"/>
        <v>50.382823579657966</v>
      </c>
    </row>
    <row r="86" spans="1:11" x14ac:dyDescent="0.25">
      <c r="A86" s="2">
        <v>29</v>
      </c>
      <c r="B86" s="2">
        <v>9.4</v>
      </c>
      <c r="C86" s="2">
        <v>11.3</v>
      </c>
      <c r="D86" s="2">
        <v>4.2</v>
      </c>
      <c r="E86" s="3">
        <v>89.468085106382972</v>
      </c>
      <c r="F86" s="2">
        <v>2</v>
      </c>
      <c r="G86" s="2">
        <v>9.9</v>
      </c>
      <c r="H86" s="2">
        <v>455</v>
      </c>
      <c r="I86" s="2">
        <v>29</v>
      </c>
      <c r="J86" s="2">
        <v>0.96</v>
      </c>
      <c r="K86" s="4">
        <f t="shared" si="1"/>
        <v>48.043866012418441</v>
      </c>
    </row>
    <row r="87" spans="1:11" x14ac:dyDescent="0.25">
      <c r="A87" s="2">
        <v>29</v>
      </c>
      <c r="B87" s="2">
        <v>9.8000000000000007</v>
      </c>
      <c r="C87" s="2">
        <v>10.5</v>
      </c>
      <c r="D87" s="2">
        <v>4.25</v>
      </c>
      <c r="E87" s="3">
        <v>91.050724637681142</v>
      </c>
      <c r="F87" s="2">
        <v>2</v>
      </c>
      <c r="G87" s="2">
        <v>10.33</v>
      </c>
      <c r="H87" s="2">
        <v>150</v>
      </c>
      <c r="I87" s="2">
        <v>26</v>
      </c>
      <c r="J87" s="2">
        <v>0.85</v>
      </c>
      <c r="K87" s="4">
        <f t="shared" si="1"/>
        <v>52.388820889151368</v>
      </c>
    </row>
    <row r="88" spans="1:11" x14ac:dyDescent="0.25">
      <c r="A88" s="2">
        <v>26</v>
      </c>
      <c r="B88" s="2">
        <v>9.9499999999999993</v>
      </c>
      <c r="C88" s="2">
        <v>10</v>
      </c>
      <c r="D88" s="2">
        <v>3.9</v>
      </c>
      <c r="E88" s="3">
        <v>92.152777777777771</v>
      </c>
      <c r="F88" s="2">
        <v>2</v>
      </c>
      <c r="G88" s="2">
        <v>9.9499999999999993</v>
      </c>
      <c r="H88" s="2">
        <v>499</v>
      </c>
      <c r="I88" s="2">
        <v>32</v>
      </c>
      <c r="J88" s="2">
        <v>1.02</v>
      </c>
      <c r="K88" s="4">
        <f t="shared" si="1"/>
        <v>48.070494326965161</v>
      </c>
    </row>
    <row r="89" spans="1:11" x14ac:dyDescent="0.25">
      <c r="A89" s="2">
        <v>23</v>
      </c>
      <c r="B89" s="2">
        <v>9.4</v>
      </c>
      <c r="C89" s="2">
        <v>11.2</v>
      </c>
      <c r="D89" s="2">
        <v>4.25</v>
      </c>
      <c r="E89" s="3">
        <v>92.912280701754383</v>
      </c>
      <c r="F89" s="2">
        <v>3</v>
      </c>
      <c r="G89" s="2">
        <v>9.9</v>
      </c>
      <c r="H89" s="2">
        <v>680</v>
      </c>
      <c r="I89" s="2">
        <v>28</v>
      </c>
      <c r="J89" s="2">
        <v>0.95</v>
      </c>
      <c r="K89" s="4">
        <f t="shared" si="1"/>
        <v>46.146491186359825</v>
      </c>
    </row>
    <row r="90" spans="1:11" x14ac:dyDescent="0.25">
      <c r="A90" s="2">
        <v>26</v>
      </c>
      <c r="B90" s="2">
        <v>9.6999999999999993</v>
      </c>
      <c r="C90" s="2">
        <v>12</v>
      </c>
      <c r="D90" s="2">
        <v>4.4000000000000004</v>
      </c>
      <c r="E90" s="3">
        <v>90.694444444444457</v>
      </c>
      <c r="F90" s="2">
        <v>0.1</v>
      </c>
      <c r="G90" s="4">
        <v>10.2378</v>
      </c>
      <c r="H90" s="2">
        <v>360</v>
      </c>
      <c r="I90" s="2">
        <v>30.8</v>
      </c>
      <c r="J90" s="5">
        <v>0.52</v>
      </c>
      <c r="K90" s="4">
        <f t="shared" si="1"/>
        <v>49.322482157331571</v>
      </c>
    </row>
    <row r="91" spans="1:11" x14ac:dyDescent="0.25">
      <c r="A91" s="2">
        <v>25</v>
      </c>
      <c r="B91" s="2">
        <v>8.9</v>
      </c>
      <c r="C91" s="2">
        <v>11.9</v>
      </c>
      <c r="D91" s="2">
        <v>4.4000000000000004</v>
      </c>
      <c r="E91" s="3">
        <v>92.0618556701031</v>
      </c>
      <c r="F91" s="2">
        <v>16</v>
      </c>
      <c r="G91" s="2">
        <v>9.4</v>
      </c>
      <c r="H91" s="2">
        <v>448</v>
      </c>
      <c r="I91" s="2">
        <v>27</v>
      </c>
      <c r="J91" s="2">
        <v>0.81</v>
      </c>
      <c r="K91" s="4">
        <f t="shared" si="1"/>
        <v>47.800857501608434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клячкин</dc:creator>
  <cp:lastModifiedBy>Иван Адамов</cp:lastModifiedBy>
  <dcterms:created xsi:type="dcterms:W3CDTF">2025-10-04T06:21:21Z</dcterms:created>
  <dcterms:modified xsi:type="dcterms:W3CDTF">2026-05-27T18:34:59Z</dcterms:modified>
</cp:coreProperties>
</file>